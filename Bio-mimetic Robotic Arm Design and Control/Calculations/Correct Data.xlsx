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/Desktop/"/>
    </mc:Choice>
  </mc:AlternateContent>
  <xr:revisionPtr revIDLastSave="0" documentId="13_ncr:1_{99B846D5-3EB1-A645-A89D-9DA35E2C8558}" xr6:coauthVersionLast="47" xr6:coauthVersionMax="47" xr10:uidLastSave="{00000000-0000-0000-0000-000000000000}"/>
  <bookViews>
    <workbookView xWindow="0" yWindow="500" windowWidth="28800" windowHeight="16520" xr2:uid="{AE11FE8E-26B8-3449-9CF5-C96B3F0D8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C7" i="1"/>
  <c r="F7" i="1" s="1"/>
  <c r="C8" i="1"/>
  <c r="C10" i="1"/>
  <c r="C15" i="1"/>
  <c r="F15" i="1" s="1"/>
  <c r="C16" i="1"/>
  <c r="D16" i="1" s="1"/>
  <c r="E16" i="1" s="1"/>
  <c r="K16" i="1" s="1"/>
  <c r="C17" i="1"/>
  <c r="D17" i="1" s="1"/>
  <c r="E17" i="1" s="1"/>
  <c r="K17" i="1" s="1"/>
  <c r="C18" i="1"/>
  <c r="D18" i="1" s="1"/>
  <c r="E18" i="1" s="1"/>
  <c r="K18" i="1" s="1"/>
  <c r="C23" i="1"/>
  <c r="F23" i="1" s="1"/>
  <c r="C24" i="1"/>
  <c r="D24" i="1" s="1"/>
  <c r="E24" i="1" s="1"/>
  <c r="K24" i="1" s="1"/>
  <c r="C25" i="1"/>
  <c r="D25" i="1" s="1"/>
  <c r="E25" i="1" s="1"/>
  <c r="K25" i="1" s="1"/>
  <c r="C26" i="1"/>
  <c r="C2" i="1"/>
  <c r="F2" i="1" s="1"/>
  <c r="B3" i="1"/>
  <c r="C3" i="1" s="1"/>
  <c r="B4" i="1"/>
  <c r="C4" i="1" s="1"/>
  <c r="B5" i="1"/>
  <c r="C5" i="1" s="1"/>
  <c r="B6" i="1"/>
  <c r="C6" i="1" s="1"/>
  <c r="B7" i="1"/>
  <c r="B8" i="1"/>
  <c r="B9" i="1"/>
  <c r="C9" i="1" s="1"/>
  <c r="B10" i="1"/>
  <c r="B11" i="1"/>
  <c r="C11" i="1" s="1"/>
  <c r="B12" i="1"/>
  <c r="C12" i="1" s="1"/>
  <c r="B13" i="1"/>
  <c r="C13" i="1" s="1"/>
  <c r="B14" i="1"/>
  <c r="C14" i="1" s="1"/>
  <c r="B15" i="1"/>
  <c r="B16" i="1"/>
  <c r="B17" i="1"/>
  <c r="B18" i="1"/>
  <c r="B19" i="1"/>
  <c r="C19" i="1" s="1"/>
  <c r="B20" i="1"/>
  <c r="C20" i="1" s="1"/>
  <c r="B21" i="1"/>
  <c r="C21" i="1" s="1"/>
  <c r="B22" i="1"/>
  <c r="C22" i="1" s="1"/>
  <c r="B23" i="1"/>
  <c r="B24" i="1"/>
  <c r="B25" i="1"/>
  <c r="B26" i="1"/>
  <c r="B27" i="1"/>
  <c r="C27" i="1" s="1"/>
  <c r="B28" i="1"/>
  <c r="C28" i="1" s="1"/>
  <c r="A27" i="1"/>
  <c r="A28" i="1" s="1"/>
  <c r="B2" i="1"/>
  <c r="D27" i="1" l="1"/>
  <c r="F27" i="1"/>
  <c r="I27" i="1" s="1"/>
  <c r="D19" i="1"/>
  <c r="E19" i="1" s="1"/>
  <c r="K19" i="1" s="1"/>
  <c r="F19" i="1"/>
  <c r="D11" i="1"/>
  <c r="E11" i="1" s="1"/>
  <c r="K11" i="1" s="1"/>
  <c r="F11" i="1"/>
  <c r="D3" i="1"/>
  <c r="E3" i="1" s="1"/>
  <c r="K3" i="1" s="1"/>
  <c r="F3" i="1"/>
  <c r="F22" i="1"/>
  <c r="D22" i="1"/>
  <c r="E22" i="1" s="1"/>
  <c r="K22" i="1" s="1"/>
  <c r="F14" i="1"/>
  <c r="D14" i="1"/>
  <c r="E14" i="1" s="1"/>
  <c r="K14" i="1" s="1"/>
  <c r="F6" i="1"/>
  <c r="D6" i="1"/>
  <c r="E6" i="1" s="1"/>
  <c r="K6" i="1" s="1"/>
  <c r="G23" i="1"/>
  <c r="H23" i="1" s="1"/>
  <c r="L23" i="1" s="1"/>
  <c r="I23" i="1"/>
  <c r="I2" i="1"/>
  <c r="I15" i="1"/>
  <c r="D9" i="1"/>
  <c r="E9" i="1" s="1"/>
  <c r="K9" i="1" s="1"/>
  <c r="F9" i="1"/>
  <c r="D26" i="1"/>
  <c r="E26" i="1" s="1"/>
  <c r="K26" i="1" s="1"/>
  <c r="D10" i="1"/>
  <c r="E10" i="1" s="1"/>
  <c r="K10" i="1" s="1"/>
  <c r="F21" i="1"/>
  <c r="D21" i="1"/>
  <c r="E21" i="1" s="1"/>
  <c r="K21" i="1" s="1"/>
  <c r="F13" i="1"/>
  <c r="D13" i="1"/>
  <c r="E13" i="1" s="1"/>
  <c r="K13" i="1" s="1"/>
  <c r="F5" i="1"/>
  <c r="D5" i="1"/>
  <c r="E5" i="1" s="1"/>
  <c r="K5" i="1" s="1"/>
  <c r="F20" i="1"/>
  <c r="D20" i="1"/>
  <c r="E20" i="1" s="1"/>
  <c r="K20" i="1" s="1"/>
  <c r="D8" i="1"/>
  <c r="E8" i="1" s="1"/>
  <c r="K8" i="1" s="1"/>
  <c r="F28" i="1"/>
  <c r="F12" i="1"/>
  <c r="D12" i="1"/>
  <c r="E12" i="1" s="1"/>
  <c r="K12" i="1" s="1"/>
  <c r="F4" i="1"/>
  <c r="D4" i="1"/>
  <c r="E4" i="1" s="1"/>
  <c r="K4" i="1" s="1"/>
  <c r="I7" i="1"/>
  <c r="D23" i="1"/>
  <c r="E23" i="1" s="1"/>
  <c r="K23" i="1" s="1"/>
  <c r="D15" i="1"/>
  <c r="E15" i="1" s="1"/>
  <c r="K15" i="1" s="1"/>
  <c r="D7" i="1"/>
  <c r="E7" i="1" s="1"/>
  <c r="K7" i="1" s="1"/>
  <c r="F26" i="1"/>
  <c r="F18" i="1"/>
  <c r="F10" i="1"/>
  <c r="F25" i="1"/>
  <c r="F17" i="1"/>
  <c r="D2" i="1"/>
  <c r="E2" i="1" s="1"/>
  <c r="K2" i="1" s="1"/>
  <c r="F24" i="1"/>
  <c r="F16" i="1"/>
  <c r="G15" i="1" s="1"/>
  <c r="H15" i="1" s="1"/>
  <c r="L15" i="1" s="1"/>
  <c r="F8" i="1"/>
  <c r="G7" i="1" s="1"/>
  <c r="H7" i="1" s="1"/>
  <c r="L7" i="1" s="1"/>
  <c r="A29" i="1"/>
  <c r="B29" i="1" s="1"/>
  <c r="C29" i="1" s="1"/>
  <c r="A30" i="1"/>
  <c r="G10" i="1" l="1"/>
  <c r="H10" i="1" s="1"/>
  <c r="L10" i="1" s="1"/>
  <c r="I10" i="1"/>
  <c r="G18" i="1"/>
  <c r="H18" i="1" s="1"/>
  <c r="L18" i="1" s="1"/>
  <c r="I18" i="1"/>
  <c r="G25" i="1"/>
  <c r="H25" i="1" s="1"/>
  <c r="L25" i="1" s="1"/>
  <c r="I25" i="1"/>
  <c r="I3" i="1"/>
  <c r="G3" i="1"/>
  <c r="H3" i="1" s="1"/>
  <c r="L3" i="1" s="1"/>
  <c r="A31" i="1"/>
  <c r="B30" i="1"/>
  <c r="C30" i="1" s="1"/>
  <c r="F29" i="1"/>
  <c r="D29" i="1"/>
  <c r="I4" i="1"/>
  <c r="G4" i="1"/>
  <c r="H4" i="1" s="1"/>
  <c r="L4" i="1" s="1"/>
  <c r="I5" i="1"/>
  <c r="G5" i="1"/>
  <c r="H5" i="1" s="1"/>
  <c r="L5" i="1" s="1"/>
  <c r="I12" i="1"/>
  <c r="G12" i="1"/>
  <c r="H12" i="1" s="1"/>
  <c r="L12" i="1" s="1"/>
  <c r="I19" i="1"/>
  <c r="G19" i="1"/>
  <c r="H19" i="1" s="1"/>
  <c r="L19" i="1" s="1"/>
  <c r="G24" i="1"/>
  <c r="H24" i="1" s="1"/>
  <c r="L24" i="1" s="1"/>
  <c r="I24" i="1"/>
  <c r="D28" i="1"/>
  <c r="I13" i="1"/>
  <c r="G13" i="1"/>
  <c r="H13" i="1" s="1"/>
  <c r="L13" i="1" s="1"/>
  <c r="G14" i="1"/>
  <c r="H14" i="1" s="1"/>
  <c r="L14" i="1" s="1"/>
  <c r="I14" i="1"/>
  <c r="I20" i="1"/>
  <c r="G20" i="1"/>
  <c r="H20" i="1" s="1"/>
  <c r="L20" i="1" s="1"/>
  <c r="G9" i="1"/>
  <c r="H9" i="1" s="1"/>
  <c r="L9" i="1" s="1"/>
  <c r="I9" i="1"/>
  <c r="I11" i="1"/>
  <c r="G11" i="1"/>
  <c r="H11" i="1" s="1"/>
  <c r="L11" i="1" s="1"/>
  <c r="G26" i="1"/>
  <c r="H26" i="1" s="1"/>
  <c r="L26" i="1" s="1"/>
  <c r="I26" i="1"/>
  <c r="G16" i="1"/>
  <c r="H16" i="1" s="1"/>
  <c r="L16" i="1" s="1"/>
  <c r="I16" i="1"/>
  <c r="G2" i="1"/>
  <c r="H2" i="1" s="1"/>
  <c r="L2" i="1" s="1"/>
  <c r="G8" i="1"/>
  <c r="H8" i="1" s="1"/>
  <c r="L8" i="1" s="1"/>
  <c r="I8" i="1"/>
  <c r="G6" i="1"/>
  <c r="H6" i="1" s="1"/>
  <c r="L6" i="1" s="1"/>
  <c r="I6" i="1"/>
  <c r="G17" i="1"/>
  <c r="H17" i="1" s="1"/>
  <c r="L17" i="1" s="1"/>
  <c r="I17" i="1"/>
  <c r="I21" i="1"/>
  <c r="G21" i="1"/>
  <c r="H21" i="1" s="1"/>
  <c r="L21" i="1" s="1"/>
  <c r="G22" i="1"/>
  <c r="H22" i="1" s="1"/>
  <c r="L22" i="1" s="1"/>
  <c r="I22" i="1"/>
  <c r="F30" i="1" l="1"/>
  <c r="A32" i="1"/>
  <c r="B31" i="1"/>
  <c r="C31" i="1" s="1"/>
  <c r="F31" i="1" l="1"/>
  <c r="A33" i="1"/>
  <c r="B32" i="1"/>
  <c r="C32" i="1" s="1"/>
  <c r="D30" i="1"/>
  <c r="F32" i="1" l="1"/>
  <c r="A34" i="1"/>
  <c r="B33" i="1"/>
  <c r="C33" i="1" s="1"/>
  <c r="D31" i="1"/>
  <c r="F33" i="1" l="1"/>
  <c r="A35" i="1"/>
  <c r="B34" i="1"/>
  <c r="C34" i="1" s="1"/>
  <c r="D32" i="1"/>
  <c r="F34" i="1" l="1"/>
  <c r="A36" i="1"/>
  <c r="B35" i="1"/>
  <c r="C35" i="1" s="1"/>
  <c r="D33" i="1"/>
  <c r="F35" i="1" l="1"/>
  <c r="A37" i="1"/>
  <c r="B36" i="1"/>
  <c r="C36" i="1" s="1"/>
  <c r="D34" i="1"/>
  <c r="F36" i="1" l="1"/>
  <c r="A38" i="1"/>
  <c r="B38" i="1" s="1"/>
  <c r="C38" i="1" s="1"/>
  <c r="B37" i="1"/>
  <c r="C37" i="1" s="1"/>
  <c r="D35" i="1"/>
  <c r="F38" i="1" l="1"/>
  <c r="D38" i="1"/>
  <c r="F37" i="1"/>
  <c r="D37" i="1"/>
  <c r="D36" i="1"/>
</calcChain>
</file>

<file path=xl/sharedStrings.xml><?xml version="1.0" encoding="utf-8"?>
<sst xmlns="http://schemas.openxmlformats.org/spreadsheetml/2006/main" count="15" uniqueCount="13">
  <si>
    <t>bk</t>
    <phoneticPr fontId="2" type="noConversion"/>
  </si>
  <si>
    <t>e^bk (r)</t>
    <phoneticPr fontId="2" type="noConversion"/>
  </si>
  <si>
    <t>k   (a=1,b=0.16)</t>
    <phoneticPr fontId="2" type="noConversion"/>
  </si>
  <si>
    <t>d</t>
    <phoneticPr fontId="2" type="noConversion"/>
  </si>
  <si>
    <t>d^2</t>
    <phoneticPr fontId="2" type="noConversion"/>
  </si>
  <si>
    <t>R(R:r=1.8664)</t>
    <phoneticPr fontId="2" type="noConversion"/>
  </si>
  <si>
    <t>D^2</t>
    <phoneticPr fontId="2" type="noConversion"/>
  </si>
  <si>
    <t>D</t>
    <phoneticPr fontId="2" type="noConversion"/>
  </si>
  <si>
    <t>实际长度</t>
    <phoneticPr fontId="2" type="noConversion"/>
  </si>
  <si>
    <t>单位：cm</t>
    <phoneticPr fontId="2" type="noConversion"/>
  </si>
  <si>
    <t>比例：3/20.82</t>
    <phoneticPr fontId="2" type="noConversion"/>
  </si>
  <si>
    <t>h</t>
    <phoneticPr fontId="2" type="noConversion"/>
  </si>
  <si>
    <t>R-r实际(h)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</si>
</sst>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DengXian"/>
      <family val="4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DBB1-5040-2540-87B4-993222464EE4}">
  <dimension ref="A1:M38"/>
  <sheetViews>
    <sheetView tabSelected="1" zoomScale="117" workbookViewId="0">
      <selection activeCell="K28" sqref="K28"/>
    </sheetView>
  </sheetViews>
  <sheetFormatPr baseColWidth="10" defaultRowHeight="16"/>
  <cols>
    <col min="1" max="1" width="15.6640625" customWidth="1"/>
    <col min="4" max="4" width="18" bestFit="1" customWidth="1"/>
    <col min="6" max="6" width="13.6640625" customWidth="1"/>
    <col min="7" max="7" width="17.1640625" customWidth="1"/>
    <col min="9" max="9" width="17.33203125" customWidth="1"/>
    <col min="10" max="10" width="13.83203125" customWidth="1"/>
  </cols>
  <sheetData>
    <row r="1" spans="1:13">
      <c r="A1" t="s">
        <v>2</v>
      </c>
      <c r="B1" t="s">
        <v>0</v>
      </c>
      <c r="C1" t="s">
        <v>1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12</v>
      </c>
      <c r="J1" t="s">
        <v>8</v>
      </c>
      <c r="K1" t="s">
        <v>3</v>
      </c>
      <c r="L1" t="s">
        <v>7</v>
      </c>
      <c r="M1" t="s">
        <v>11</v>
      </c>
    </row>
    <row r="2" spans="1:13">
      <c r="A2" s="1">
        <v>6.2830000000000004</v>
      </c>
      <c r="B2">
        <f>PRODUCT(A2,0.16)</f>
        <v>1.0052800000000002</v>
      </c>
      <c r="C2">
        <f>EXP(B2)</f>
        <v>2.7326723139630795</v>
      </c>
      <c r="D2" t="str">
        <f>IMSUB(SUM(POWER(C2,2),POWER(C3,2)),PRODUCT(2,C2,C3,0.866025))</f>
        <v>2.23244493359327</v>
      </c>
      <c r="E2">
        <f>POWER(D2,0.5)</f>
        <v>1.4941368523643574</v>
      </c>
      <c r="F2">
        <f>PRODUCT(C2,1.8664)</f>
        <v>5.1002596067806918</v>
      </c>
      <c r="G2" t="str">
        <f>IMSUB(SUM(POWER(F2,2),POWER(F3,2)),PRODUCT(2,F2,F3,0.866025))</f>
        <v>7.77660798218272</v>
      </c>
      <c r="H2">
        <f>POWER(G2,0.5)</f>
        <v>2.7886570212528325</v>
      </c>
      <c r="I2">
        <f>PRODUCT(IMSUB(F2,C2),0.1441)</f>
        <v>0.34116932889501761</v>
      </c>
      <c r="J2" t="s">
        <v>10</v>
      </c>
      <c r="K2">
        <f>PRODUCT(0.14418,E2)</f>
        <v>0.21542465137389305</v>
      </c>
      <c r="L2">
        <f>PRODUCT(0.1441,H2)</f>
        <v>0.40184547676253318</v>
      </c>
    </row>
    <row r="3" spans="1:13">
      <c r="A3" s="1">
        <v>6.806</v>
      </c>
      <c r="B3">
        <f t="shared" ref="B3:B38" si="0">PRODUCT(A3,0.16)</f>
        <v>1.0889599999999999</v>
      </c>
      <c r="C3">
        <f t="shared" ref="C3:C38" si="1">EXP(B3)</f>
        <v>2.9711824354575538</v>
      </c>
      <c r="D3" t="str">
        <f t="shared" ref="D3:D38" si="2">IMSUB(SUM(POWER(C3,2),POWER(C4,2)),PRODUCT(2,C3,C4,0.866025))</f>
        <v>2.63983115467254</v>
      </c>
      <c r="E3">
        <f t="shared" ref="E3:E26" si="3">POWER(D3,0.5)</f>
        <v>1.6247557215386379</v>
      </c>
      <c r="F3">
        <f t="shared" ref="F3:F38" si="4">PRODUCT(C3,1.8664)</f>
        <v>5.5454148975379782</v>
      </c>
      <c r="G3" t="str">
        <f t="shared" ref="G3:G26" si="5">IMSUB(SUM(POWER(F3,2),POWER(F4,2)),PRODUCT(2,F3,F4,0.866025))</f>
        <v>9.19571709031964</v>
      </c>
      <c r="H3">
        <f t="shared" ref="H3:H26" si="6">POWER(G3,0.5)</f>
        <v>3.0324440786797107</v>
      </c>
      <c r="I3">
        <f t="shared" ref="I3:I27" si="7">PRODUCT(IMSUB(F3,C3),0.1441)</f>
        <v>0.37094689778578854</v>
      </c>
      <c r="J3" t="s">
        <v>9</v>
      </c>
      <c r="K3">
        <f t="shared" ref="K3:K26" si="8">PRODUCT(0.14418,E3)</f>
        <v>0.23425727993144083</v>
      </c>
      <c r="L3">
        <f t="shared" ref="L3:L26" si="9">PRODUCT(0.1441,H3)</f>
        <v>0.43697519173774635</v>
      </c>
    </row>
    <row r="4" spans="1:13">
      <c r="A4" s="1">
        <v>7.33</v>
      </c>
      <c r="B4">
        <f t="shared" si="0"/>
        <v>1.1728000000000001</v>
      </c>
      <c r="C4">
        <f t="shared" si="1"/>
        <v>3.2310268599239764</v>
      </c>
      <c r="D4" t="str">
        <f t="shared" si="2"/>
        <v>3.1217537977247</v>
      </c>
      <c r="E4">
        <f t="shared" si="3"/>
        <v>1.7668485497417994</v>
      </c>
      <c r="F4">
        <f t="shared" si="4"/>
        <v>6.0303885313621102</v>
      </c>
      <c r="G4" t="str">
        <f t="shared" si="5"/>
        <v>10.8744700200602</v>
      </c>
      <c r="H4">
        <f t="shared" si="6"/>
        <v>3.2976461332381009</v>
      </c>
      <c r="I4">
        <f t="shared" si="7"/>
        <v>0.40338801685423459</v>
      </c>
      <c r="K4">
        <f t="shared" si="8"/>
        <v>0.25474422390177265</v>
      </c>
      <c r="L4">
        <f t="shared" si="9"/>
        <v>0.47519080779961037</v>
      </c>
    </row>
    <row r="5" spans="1:13">
      <c r="A5" s="1">
        <v>7.8540000000000001</v>
      </c>
      <c r="B5">
        <f t="shared" si="0"/>
        <v>1.25664</v>
      </c>
      <c r="C5">
        <f t="shared" si="1"/>
        <v>3.5135959491974207</v>
      </c>
      <c r="D5" t="str">
        <f t="shared" si="2"/>
        <v>3.69165533801631</v>
      </c>
      <c r="E5">
        <f t="shared" si="3"/>
        <v>1.9213680901941486</v>
      </c>
      <c r="F5">
        <f t="shared" si="4"/>
        <v>6.557775479582066</v>
      </c>
      <c r="G5" t="str">
        <f t="shared" si="5"/>
        <v>12.8596929478914</v>
      </c>
      <c r="H5">
        <f t="shared" si="6"/>
        <v>3.5860414035383639</v>
      </c>
      <c r="I5">
        <f t="shared" si="7"/>
        <v>0.43866627032842809</v>
      </c>
      <c r="K5">
        <f t="shared" si="8"/>
        <v>0.27702285124419235</v>
      </c>
      <c r="L5">
        <f t="shared" si="9"/>
        <v>0.51674856624987831</v>
      </c>
    </row>
    <row r="6" spans="1:13">
      <c r="A6" s="1">
        <v>8.3780000000000001</v>
      </c>
      <c r="B6">
        <f t="shared" si="0"/>
        <v>1.3404800000000001</v>
      </c>
      <c r="C6">
        <f t="shared" si="1"/>
        <v>3.8208770862731249</v>
      </c>
      <c r="D6" t="str">
        <f t="shared" si="2"/>
        <v>4.36447264543949</v>
      </c>
      <c r="E6">
        <f t="shared" si="3"/>
        <v>2.0891320315957751</v>
      </c>
      <c r="F6">
        <f t="shared" si="4"/>
        <v>7.1312849938201603</v>
      </c>
      <c r="G6" t="str">
        <f t="shared" si="5"/>
        <v>15.2034176977047</v>
      </c>
      <c r="H6">
        <f t="shared" si="6"/>
        <v>3.8991560237703617</v>
      </c>
      <c r="I6">
        <f t="shared" si="7"/>
        <v>0.47702977947752845</v>
      </c>
      <c r="K6">
        <f t="shared" si="8"/>
        <v>0.30121105631547884</v>
      </c>
      <c r="L6">
        <f t="shared" si="9"/>
        <v>0.56186838302530917</v>
      </c>
    </row>
    <row r="7" spans="1:13">
      <c r="A7" s="1">
        <v>8.9009999999999998</v>
      </c>
      <c r="B7">
        <f t="shared" si="0"/>
        <v>1.4241600000000001</v>
      </c>
      <c r="C7">
        <f t="shared" si="1"/>
        <v>4.1543667086496958</v>
      </c>
      <c r="D7" t="str">
        <f t="shared" si="2"/>
        <v>5.16092051802714</v>
      </c>
      <c r="E7">
        <f t="shared" si="3"/>
        <v>2.2717659470172404</v>
      </c>
      <c r="F7">
        <f t="shared" si="4"/>
        <v>7.7537100250237927</v>
      </c>
      <c r="G7" t="str">
        <f t="shared" si="5"/>
        <v>17.9778032111643</v>
      </c>
      <c r="H7">
        <f t="shared" si="6"/>
        <v>4.2400239635129777</v>
      </c>
      <c r="I7">
        <f t="shared" si="7"/>
        <v>0.51866537188950779</v>
      </c>
      <c r="K7">
        <f t="shared" si="8"/>
        <v>0.32754321424094573</v>
      </c>
      <c r="L7">
        <f t="shared" si="9"/>
        <v>0.61098745314222014</v>
      </c>
    </row>
    <row r="8" spans="1:13">
      <c r="A8" s="1">
        <v>9.4250000000000007</v>
      </c>
      <c r="B8">
        <f t="shared" si="0"/>
        <v>1.5080000000000002</v>
      </c>
      <c r="C8">
        <f t="shared" si="1"/>
        <v>4.517686380154589</v>
      </c>
      <c r="D8" t="str">
        <f t="shared" si="2"/>
        <v>6.10151662704254</v>
      </c>
      <c r="E8">
        <f t="shared" si="3"/>
        <v>2.4701248201341039</v>
      </c>
      <c r="F8">
        <f t="shared" si="4"/>
        <v>8.4318098599205253</v>
      </c>
      <c r="G8" t="str">
        <f t="shared" si="5"/>
        <v>21.2543217488941</v>
      </c>
      <c r="H8">
        <f t="shared" si="6"/>
        <v>4.6102409642982982</v>
      </c>
      <c r="I8">
        <f t="shared" si="7"/>
        <v>0.56402519343427193</v>
      </c>
      <c r="K8">
        <f t="shared" si="8"/>
        <v>0.35614259656693509</v>
      </c>
      <c r="L8">
        <f t="shared" si="9"/>
        <v>0.66433572295538479</v>
      </c>
    </row>
    <row r="9" spans="1:13">
      <c r="A9" s="1">
        <v>9.9480000000000004</v>
      </c>
      <c r="B9">
        <f t="shared" si="0"/>
        <v>1.5916800000000002</v>
      </c>
      <c r="C9">
        <f t="shared" si="1"/>
        <v>4.9119941505736229</v>
      </c>
      <c r="D9" t="str">
        <f t="shared" si="2"/>
        <v>7.21494780921388</v>
      </c>
      <c r="E9">
        <f t="shared" si="3"/>
        <v>2.6860654886308861</v>
      </c>
      <c r="F9">
        <f t="shared" si="4"/>
        <v>9.1677458826306104</v>
      </c>
      <c r="G9" t="str">
        <f t="shared" si="5"/>
        <v>25.1329024424604</v>
      </c>
      <c r="H9">
        <f t="shared" si="6"/>
        <v>5.0132726279806885</v>
      </c>
      <c r="I9">
        <f t="shared" si="7"/>
        <v>0.61325382458941236</v>
      </c>
      <c r="K9">
        <f t="shared" si="8"/>
        <v>0.38727692215080117</v>
      </c>
      <c r="L9">
        <f t="shared" si="9"/>
        <v>0.72241258569201727</v>
      </c>
    </row>
    <row r="10" spans="1:13">
      <c r="A10" s="1">
        <v>10.472</v>
      </c>
      <c r="B10">
        <f t="shared" si="0"/>
        <v>1.6755199999999999</v>
      </c>
      <c r="C10">
        <f t="shared" si="1"/>
        <v>5.3415720444809267</v>
      </c>
      <c r="D10" t="str">
        <f t="shared" si="2"/>
        <v>8.53209520007842</v>
      </c>
      <c r="E10">
        <f t="shared" si="3"/>
        <v>2.9209750427003685</v>
      </c>
      <c r="F10">
        <f t="shared" si="4"/>
        <v>9.969510063819202</v>
      </c>
      <c r="G10" t="str">
        <f t="shared" si="5"/>
        <v>29.7211181513342</v>
      </c>
      <c r="H10">
        <f t="shared" si="6"/>
        <v>5.4517078196959714</v>
      </c>
      <c r="I10">
        <f t="shared" si="7"/>
        <v>0.66688586858664611</v>
      </c>
      <c r="K10">
        <f t="shared" si="8"/>
        <v>0.42114618165653911</v>
      </c>
      <c r="L10">
        <f t="shared" si="9"/>
        <v>0.7855910968181895</v>
      </c>
    </row>
    <row r="11" spans="1:13">
      <c r="A11" s="1">
        <v>10.996</v>
      </c>
      <c r="B11">
        <f t="shared" si="0"/>
        <v>1.75936</v>
      </c>
      <c r="C11">
        <f t="shared" si="1"/>
        <v>5.8087186246034408</v>
      </c>
      <c r="D11" t="str">
        <f t="shared" si="2"/>
        <v>10.0870998778119</v>
      </c>
      <c r="E11">
        <f t="shared" si="3"/>
        <v>3.1760195021145416</v>
      </c>
      <c r="F11">
        <f t="shared" si="4"/>
        <v>10.841392440959861</v>
      </c>
      <c r="G11" t="str">
        <f t="shared" si="5"/>
        <v>35.1378975787798</v>
      </c>
      <c r="H11">
        <f t="shared" si="6"/>
        <v>5.9277227987465642</v>
      </c>
      <c r="I11">
        <f t="shared" si="7"/>
        <v>0.7252082969369601</v>
      </c>
      <c r="K11">
        <f t="shared" si="8"/>
        <v>0.45791849181487465</v>
      </c>
      <c r="L11">
        <f t="shared" si="9"/>
        <v>0.85418485529937993</v>
      </c>
    </row>
    <row r="12" spans="1:13">
      <c r="A12" s="1">
        <v>11.519</v>
      </c>
      <c r="B12">
        <f t="shared" si="0"/>
        <v>1.84304</v>
      </c>
      <c r="C12">
        <f t="shared" si="1"/>
        <v>6.3157088618895729</v>
      </c>
      <c r="D12" t="str">
        <f t="shared" si="2"/>
        <v>11.9278375547124</v>
      </c>
      <c r="E12">
        <f t="shared" si="3"/>
        <v>3.4536701571968913</v>
      </c>
      <c r="F12">
        <f t="shared" si="4"/>
        <v>11.787639019830699</v>
      </c>
      <c r="G12" t="str">
        <f t="shared" si="5"/>
        <v>41.550013325012</v>
      </c>
      <c r="H12">
        <f t="shared" si="6"/>
        <v>6.4459299813922897</v>
      </c>
      <c r="I12">
        <f t="shared" si="7"/>
        <v>0.7885051357593168</v>
      </c>
      <c r="K12">
        <f t="shared" si="8"/>
        <v>0.4979501632646478</v>
      </c>
      <c r="L12">
        <f t="shared" si="9"/>
        <v>0.92885851031862898</v>
      </c>
    </row>
    <row r="13" spans="1:13">
      <c r="A13" s="1">
        <v>12.042999999999999</v>
      </c>
      <c r="B13">
        <f t="shared" si="0"/>
        <v>1.9268799999999999</v>
      </c>
      <c r="C13">
        <f t="shared" si="1"/>
        <v>6.8680484674050621</v>
      </c>
      <c r="D13" t="str">
        <f t="shared" si="2"/>
        <v>14.1017283468185</v>
      </c>
      <c r="E13">
        <f t="shared" si="3"/>
        <v>3.7552268036456202</v>
      </c>
      <c r="F13">
        <f t="shared" si="4"/>
        <v>12.818525659564809</v>
      </c>
      <c r="G13" t="str">
        <f t="shared" si="5"/>
        <v>49.1226509439273</v>
      </c>
      <c r="H13">
        <f t="shared" si="6"/>
        <v>7.0087553063241765</v>
      </c>
      <c r="I13">
        <f t="shared" si="7"/>
        <v>0.85746376339022001</v>
      </c>
      <c r="K13">
        <f t="shared" si="8"/>
        <v>0.54142860054962549</v>
      </c>
      <c r="L13">
        <f t="shared" si="9"/>
        <v>1.0099616396413138</v>
      </c>
    </row>
    <row r="14" spans="1:13">
      <c r="A14" s="1">
        <v>12.566000000000001</v>
      </c>
      <c r="B14">
        <f t="shared" si="0"/>
        <v>2.0105600000000003</v>
      </c>
      <c r="C14">
        <f t="shared" si="1"/>
        <v>7.4674979755003328</v>
      </c>
      <c r="D14" t="str">
        <f t="shared" si="2"/>
        <v>16.6750728156785</v>
      </c>
      <c r="E14">
        <f t="shared" si="3"/>
        <v>4.0835123136435501</v>
      </c>
      <c r="F14">
        <f t="shared" si="4"/>
        <v>13.937338221473821</v>
      </c>
      <c r="G14" t="str">
        <f t="shared" si="5"/>
        <v>58.0867650576993</v>
      </c>
      <c r="H14">
        <f t="shared" si="6"/>
        <v>7.6214673821843064</v>
      </c>
      <c r="I14">
        <f t="shared" si="7"/>
        <v>0.93230397944477994</v>
      </c>
      <c r="K14">
        <f t="shared" si="8"/>
        <v>0.58876080538112707</v>
      </c>
      <c r="L14">
        <f t="shared" si="9"/>
        <v>1.0982534497727585</v>
      </c>
    </row>
    <row r="15" spans="1:13">
      <c r="A15" s="1">
        <v>13.09</v>
      </c>
      <c r="B15">
        <f t="shared" si="0"/>
        <v>2.0943999999999998</v>
      </c>
      <c r="C15">
        <f t="shared" si="1"/>
        <v>8.1205671679174003</v>
      </c>
      <c r="D15" t="str">
        <f t="shared" si="2"/>
        <v>19.7192429514067</v>
      </c>
      <c r="E15">
        <f t="shared" si="3"/>
        <v>4.4406354220321553</v>
      </c>
      <c r="F15">
        <f t="shared" si="4"/>
        <v>15.156226562201036</v>
      </c>
      <c r="G15" t="str">
        <f t="shared" si="5"/>
        <v>68.6909763510651</v>
      </c>
      <c r="H15">
        <f t="shared" si="6"/>
        <v>8.2880019516808208</v>
      </c>
      <c r="I15">
        <f t="shared" si="7"/>
        <v>1.0138385187162726</v>
      </c>
      <c r="K15">
        <f t="shared" si="8"/>
        <v>0.64025081514859616</v>
      </c>
      <c r="L15">
        <f t="shared" si="9"/>
        <v>1.1943010812372064</v>
      </c>
    </row>
    <row r="16" spans="1:13">
      <c r="A16" s="1">
        <v>13.614000000000001</v>
      </c>
      <c r="B16">
        <f t="shared" si="0"/>
        <v>2.1782400000000002</v>
      </c>
      <c r="C16">
        <f t="shared" si="1"/>
        <v>8.8307504528301912</v>
      </c>
      <c r="D16" t="str">
        <f t="shared" si="2"/>
        <v>23.3131450717813</v>
      </c>
      <c r="E16">
        <f t="shared" si="3"/>
        <v>4.8283687795964072</v>
      </c>
      <c r="F16">
        <f t="shared" si="4"/>
        <v>16.481712645162268</v>
      </c>
      <c r="G16" t="str">
        <f t="shared" si="5"/>
        <v>81.2101509546258</v>
      </c>
      <c r="H16">
        <f t="shared" si="6"/>
        <v>9.0116674902387413</v>
      </c>
      <c r="I16">
        <f t="shared" si="7"/>
        <v>1.1025036519150528</v>
      </c>
      <c r="K16">
        <f t="shared" si="8"/>
        <v>0.69615421064220995</v>
      </c>
      <c r="L16">
        <f t="shared" si="9"/>
        <v>1.2985812853434027</v>
      </c>
    </row>
    <row r="17" spans="1:12">
      <c r="A17" s="1">
        <v>14.137</v>
      </c>
      <c r="B17">
        <f t="shared" si="0"/>
        <v>2.2619199999999999</v>
      </c>
      <c r="C17">
        <f t="shared" si="1"/>
        <v>9.6015063728246179</v>
      </c>
      <c r="D17" t="str">
        <f t="shared" si="2"/>
        <v>27.5674287628818</v>
      </c>
      <c r="E17">
        <f t="shared" si="3"/>
        <v>5.2504693850056681</v>
      </c>
      <c r="F17">
        <f t="shared" si="4"/>
        <v>17.920251494239867</v>
      </c>
      <c r="G17" t="str">
        <f t="shared" si="5"/>
        <v>96.0297310539347</v>
      </c>
      <c r="H17">
        <f t="shared" si="6"/>
        <v>9.7994760601745785</v>
      </c>
      <c r="I17">
        <f t="shared" si="7"/>
        <v>1.1987311719959375</v>
      </c>
      <c r="K17">
        <f t="shared" si="8"/>
        <v>0.75701267593011723</v>
      </c>
      <c r="L17">
        <f t="shared" si="9"/>
        <v>1.4121045002711567</v>
      </c>
    </row>
    <row r="18" spans="1:12">
      <c r="A18" s="1">
        <v>14.661</v>
      </c>
      <c r="B18">
        <f t="shared" si="0"/>
        <v>2.3457599999999998</v>
      </c>
      <c r="C18">
        <f t="shared" si="1"/>
        <v>10.441205028714485</v>
      </c>
      <c r="D18" t="str">
        <f t="shared" si="2"/>
        <v>32.591690643946</v>
      </c>
      <c r="E18">
        <f t="shared" si="3"/>
        <v>5.7089132629552184</v>
      </c>
      <c r="F18">
        <f t="shared" si="4"/>
        <v>19.487465065592716</v>
      </c>
      <c r="G18" t="str">
        <f t="shared" si="5"/>
        <v>113.531490878295</v>
      </c>
      <c r="H18">
        <f t="shared" si="6"/>
        <v>10.655115713979599</v>
      </c>
      <c r="I18">
        <f t="shared" si="7"/>
        <v>1.303566071314153</v>
      </c>
      <c r="K18">
        <f t="shared" si="8"/>
        <v>0.82311111425288341</v>
      </c>
      <c r="L18">
        <f t="shared" si="9"/>
        <v>1.5354021743844604</v>
      </c>
    </row>
    <row r="19" spans="1:12">
      <c r="A19" s="1">
        <v>15.183999999999999</v>
      </c>
      <c r="B19">
        <f t="shared" si="0"/>
        <v>2.42944</v>
      </c>
      <c r="C19">
        <f t="shared" si="1"/>
        <v>11.352522886776946</v>
      </c>
      <c r="D19" t="str">
        <f t="shared" si="2"/>
        <v>38.5391635200859</v>
      </c>
      <c r="E19">
        <f t="shared" si="3"/>
        <v>6.2079919072181386</v>
      </c>
      <c r="F19">
        <f t="shared" si="4"/>
        <v>21.18834871588049</v>
      </c>
      <c r="G19" t="str">
        <f t="shared" si="5"/>
        <v>134.249209083313</v>
      </c>
      <c r="H19">
        <f t="shared" si="6"/>
        <v>11.586596095631926</v>
      </c>
      <c r="I19">
        <f t="shared" si="7"/>
        <v>1.4173425019738202</v>
      </c>
      <c r="K19">
        <f t="shared" si="8"/>
        <v>0.8950682731827112</v>
      </c>
      <c r="L19">
        <f t="shared" si="9"/>
        <v>1.6696284973805606</v>
      </c>
    </row>
    <row r="20" spans="1:12">
      <c r="A20" s="1">
        <v>15.708</v>
      </c>
      <c r="B20">
        <f t="shared" si="0"/>
        <v>2.51328</v>
      </c>
      <c r="C20">
        <f t="shared" si="1"/>
        <v>12.345356494216524</v>
      </c>
      <c r="D20" t="str">
        <f t="shared" si="2"/>
        <v>45.5630630599218</v>
      </c>
      <c r="E20">
        <f t="shared" si="3"/>
        <v>6.7500417080134998</v>
      </c>
      <c r="F20">
        <f t="shared" si="4"/>
        <v>23.041373360805721</v>
      </c>
      <c r="G20" t="str">
        <f t="shared" si="5"/>
        <v>158.716604630499</v>
      </c>
      <c r="H20">
        <f t="shared" si="6"/>
        <v>12.598277843836396</v>
      </c>
      <c r="I20">
        <f t="shared" si="7"/>
        <v>1.5412960304755039</v>
      </c>
      <c r="K20">
        <f t="shared" si="8"/>
        <v>0.97322101346138645</v>
      </c>
      <c r="L20">
        <f t="shared" si="9"/>
        <v>1.8154118372968246</v>
      </c>
    </row>
    <row r="21" spans="1:12">
      <c r="A21" s="1">
        <v>16.231000000000002</v>
      </c>
      <c r="B21">
        <f t="shared" si="0"/>
        <v>2.5969600000000002</v>
      </c>
      <c r="C21">
        <f t="shared" si="1"/>
        <v>13.422870421621132</v>
      </c>
      <c r="D21" t="str">
        <f t="shared" si="2"/>
        <v>53.8776081586452</v>
      </c>
      <c r="E21">
        <f t="shared" si="3"/>
        <v>7.3401367942733327</v>
      </c>
      <c r="F21">
        <f t="shared" si="4"/>
        <v>25.052445354913683</v>
      </c>
      <c r="G21" t="str">
        <f t="shared" si="5"/>
        <v>187.67989810752</v>
      </c>
      <c r="H21">
        <f t="shared" si="6"/>
        <v>13.699631312831743</v>
      </c>
      <c r="I21">
        <f t="shared" si="7"/>
        <v>1.6758217478874637</v>
      </c>
      <c r="K21">
        <f t="shared" si="8"/>
        <v>1.0583009229983291</v>
      </c>
      <c r="L21">
        <f t="shared" si="9"/>
        <v>1.9741168721790543</v>
      </c>
    </row>
    <row r="22" spans="1:12">
      <c r="A22" s="1">
        <v>16.754999999999999</v>
      </c>
      <c r="B22">
        <f t="shared" si="0"/>
        <v>2.6808000000000001</v>
      </c>
      <c r="C22">
        <f t="shared" si="1"/>
        <v>14.596766038992193</v>
      </c>
      <c r="D22" t="str">
        <f t="shared" si="2"/>
        <v>63.7134036333616</v>
      </c>
      <c r="E22">
        <f t="shared" si="3"/>
        <v>7.9820676289644155</v>
      </c>
      <c r="F22">
        <f t="shared" si="4"/>
        <v>27.24340413517503</v>
      </c>
      <c r="G22" t="str">
        <f t="shared" si="5"/>
        <v>221.942389624694</v>
      </c>
      <c r="H22">
        <f t="shared" si="6"/>
        <v>14.897731022699194</v>
      </c>
      <c r="I22">
        <f t="shared" si="7"/>
        <v>1.8223805496599415</v>
      </c>
      <c r="K22">
        <f t="shared" si="8"/>
        <v>1.1508545107440895</v>
      </c>
      <c r="L22">
        <f t="shared" si="9"/>
        <v>2.1467630403709541</v>
      </c>
    </row>
    <row r="23" spans="1:12">
      <c r="A23" s="1">
        <v>17.279</v>
      </c>
      <c r="B23">
        <f t="shared" si="0"/>
        <v>2.76464</v>
      </c>
      <c r="C23">
        <f t="shared" si="1"/>
        <v>15.873324565055519</v>
      </c>
      <c r="D23" t="str">
        <f t="shared" si="2"/>
        <v>75.3448035516828</v>
      </c>
      <c r="E23">
        <f t="shared" si="3"/>
        <v>8.6801384523337415</v>
      </c>
      <c r="F23">
        <f t="shared" si="4"/>
        <v>29.625972968219621</v>
      </c>
      <c r="G23" t="str">
        <f t="shared" si="5"/>
        <v>262.459777573514</v>
      </c>
      <c r="H23">
        <f t="shared" si="6"/>
        <v>16.2006104074357</v>
      </c>
      <c r="I23">
        <f t="shared" si="7"/>
        <v>1.981756634895947</v>
      </c>
      <c r="K23">
        <f t="shared" si="8"/>
        <v>1.2515023620574788</v>
      </c>
      <c r="L23">
        <f t="shared" si="9"/>
        <v>2.3345079597114844</v>
      </c>
    </row>
    <row r="24" spans="1:12">
      <c r="A24" s="1">
        <v>17.803000000000001</v>
      </c>
      <c r="B24">
        <f t="shared" si="0"/>
        <v>2.8484800000000003</v>
      </c>
      <c r="C24">
        <f t="shared" si="1"/>
        <v>17.261524372900848</v>
      </c>
      <c r="D24" t="str">
        <f t="shared" si="2"/>
        <v>89.0766618137305</v>
      </c>
      <c r="E24">
        <f t="shared" si="3"/>
        <v>9.438043325484923</v>
      </c>
      <c r="F24">
        <f t="shared" si="4"/>
        <v>32.216909089582145</v>
      </c>
      <c r="G24" t="str">
        <f t="shared" si="5"/>
        <v>310.294004955311</v>
      </c>
      <c r="H24">
        <f t="shared" si="6"/>
        <v>17.615164062685054</v>
      </c>
      <c r="I24">
        <f t="shared" si="7"/>
        <v>2.1550709376737753</v>
      </c>
      <c r="K24">
        <f t="shared" si="8"/>
        <v>1.3607770866684161</v>
      </c>
      <c r="L24">
        <f t="shared" si="9"/>
        <v>2.5383451414329161</v>
      </c>
    </row>
    <row r="25" spans="1:12">
      <c r="A25" s="1">
        <v>18.326000000000001</v>
      </c>
      <c r="B25">
        <f t="shared" si="0"/>
        <v>2.9321600000000001</v>
      </c>
      <c r="C25">
        <f t="shared" si="1"/>
        <v>18.768125897834373</v>
      </c>
      <c r="D25" t="str">
        <f t="shared" si="2"/>
        <v>105.331756887562</v>
      </c>
      <c r="E25">
        <f t="shared" si="3"/>
        <v>10.263126077738789</v>
      </c>
      <c r="F25">
        <f t="shared" si="4"/>
        <v>35.028830175718078</v>
      </c>
      <c r="G25" t="str">
        <f t="shared" si="5"/>
        <v>366.91779898495</v>
      </c>
      <c r="H25">
        <f t="shared" si="6"/>
        <v>19.155098511491662</v>
      </c>
      <c r="I25">
        <f t="shared" si="7"/>
        <v>2.3431674864430412</v>
      </c>
      <c r="K25">
        <f t="shared" si="8"/>
        <v>1.4797375178883787</v>
      </c>
      <c r="L25">
        <f t="shared" si="9"/>
        <v>2.7602496955059488</v>
      </c>
    </row>
    <row r="26" spans="1:12">
      <c r="A26" s="2">
        <v>18.850000000000001</v>
      </c>
      <c r="B26">
        <f t="shared" si="0"/>
        <v>3.0160000000000005</v>
      </c>
      <c r="C26">
        <f t="shared" si="1"/>
        <v>20.409490229434272</v>
      </c>
      <c r="D26" t="str">
        <f t="shared" si="2"/>
        <v>124.548089318779</v>
      </c>
      <c r="E26">
        <f t="shared" si="3"/>
        <v>11.160111528061851</v>
      </c>
      <c r="F26">
        <f t="shared" si="4"/>
        <v>38.092272564216124</v>
      </c>
      <c r="G26" t="str">
        <f t="shared" si="5"/>
        <v>433.85691220749</v>
      </c>
      <c r="H26">
        <f t="shared" si="6"/>
        <v>20.82923215597469</v>
      </c>
      <c r="I26">
        <f t="shared" si="7"/>
        <v>2.5480889344420721</v>
      </c>
      <c r="K26">
        <f t="shared" si="8"/>
        <v>1.6090648801159577</v>
      </c>
      <c r="L26">
        <f t="shared" si="9"/>
        <v>3.0014923536759528</v>
      </c>
    </row>
    <row r="27" spans="1:12">
      <c r="A27">
        <f>SUM(A26,0.5236)</f>
        <v>19.3736</v>
      </c>
      <c r="B27">
        <f t="shared" si="0"/>
        <v>3.0997759999999999</v>
      </c>
      <c r="C27">
        <f t="shared" si="1"/>
        <v>22.192979497215209</v>
      </c>
      <c r="D27" t="str">
        <f t="shared" si="2"/>
        <v>147.266504466721</v>
      </c>
      <c r="F27">
        <f t="shared" si="4"/>
        <v>41.420976933602468</v>
      </c>
      <c r="I27">
        <f t="shared" si="7"/>
        <v>2.7707544305834104</v>
      </c>
    </row>
    <row r="28" spans="1:12">
      <c r="A28">
        <f>SUM(A27,0.5236)</f>
        <v>19.897199999999998</v>
      </c>
      <c r="B28">
        <f t="shared" si="0"/>
        <v>3.1835519999999997</v>
      </c>
      <c r="C28">
        <f t="shared" si="1"/>
        <v>24.132319495834228</v>
      </c>
      <c r="D28" t="str">
        <f t="shared" si="2"/>
        <v>174.128912426253</v>
      </c>
      <c r="F28">
        <f t="shared" si="4"/>
        <v>45.040561107025006</v>
      </c>
      <c r="L28">
        <f>SUM(L2,L3,L4,L5,L7,L6,L8,L9,L10,L11,L12,L13,L14,L15,L16,L17,L18,L19,L20,L21,L22,L23,L24,L25,L26,)</f>
        <v>32.748118178004887</v>
      </c>
    </row>
    <row r="29" spans="1:12">
      <c r="A29">
        <f t="shared" ref="A29:A38" si="10">SUM(A28,0.5236)</f>
        <v>20.420799999999996</v>
      </c>
      <c r="B29">
        <f t="shared" si="0"/>
        <v>3.2673279999999996</v>
      </c>
      <c r="C29">
        <f t="shared" si="1"/>
        <v>26.24112928694846</v>
      </c>
      <c r="D29" t="str">
        <f t="shared" si="2"/>
        <v>205.891205556531</v>
      </c>
      <c r="F29">
        <f t="shared" si="4"/>
        <v>48.976443701160605</v>
      </c>
    </row>
    <row r="30" spans="1:12">
      <c r="A30">
        <f t="shared" si="10"/>
        <v>20.944399999999995</v>
      </c>
      <c r="B30">
        <f t="shared" si="0"/>
        <v>3.3511039999999994</v>
      </c>
      <c r="C30">
        <f t="shared" si="1"/>
        <v>28.534218037897734</v>
      </c>
      <c r="D30" t="str">
        <f t="shared" si="2"/>
        <v>243.447156103243</v>
      </c>
      <c r="F30">
        <f t="shared" si="4"/>
        <v>53.256264545932332</v>
      </c>
    </row>
    <row r="31" spans="1:12">
      <c r="A31">
        <f t="shared" si="10"/>
        <v>21.467999999999993</v>
      </c>
      <c r="B31">
        <f t="shared" si="0"/>
        <v>3.4348799999999988</v>
      </c>
      <c r="C31">
        <f t="shared" si="1"/>
        <v>31.027689019437407</v>
      </c>
      <c r="D31" t="str">
        <f t="shared" si="2"/>
        <v>287.853566423865</v>
      </c>
      <c r="F31">
        <f t="shared" si="4"/>
        <v>57.910078785877978</v>
      </c>
    </row>
    <row r="32" spans="1:12">
      <c r="A32">
        <f t="shared" si="10"/>
        <v>21.991599999999991</v>
      </c>
      <c r="B32">
        <f t="shared" si="0"/>
        <v>3.5186559999999987</v>
      </c>
      <c r="C32">
        <f t="shared" si="1"/>
        <v>33.739052691343545</v>
      </c>
      <c r="D32" t="str">
        <f t="shared" si="2"/>
        <v>340.360006784383</v>
      </c>
      <c r="F32">
        <f t="shared" si="4"/>
        <v>62.970567943123598</v>
      </c>
    </row>
    <row r="33" spans="1:6">
      <c r="A33">
        <f t="shared" si="10"/>
        <v>22.515199999999989</v>
      </c>
      <c r="B33">
        <f t="shared" si="0"/>
        <v>3.6024319999999985</v>
      </c>
      <c r="C33">
        <f t="shared" si="1"/>
        <v>36.687349670036625</v>
      </c>
      <c r="D33" t="str">
        <f t="shared" si="2"/>
        <v>402.44397753156</v>
      </c>
      <c r="F33">
        <f t="shared" si="4"/>
        <v>68.473269424156356</v>
      </c>
    </row>
    <row r="34" spans="1:6">
      <c r="A34">
        <f t="shared" si="10"/>
        <v>23.038799999999988</v>
      </c>
      <c r="B34">
        <f t="shared" si="0"/>
        <v>3.6862079999999979</v>
      </c>
      <c r="C34">
        <f t="shared" si="1"/>
        <v>39.893284441767108</v>
      </c>
      <c r="D34" t="str">
        <f t="shared" si="2"/>
        <v>475.852485083609</v>
      </c>
      <c r="F34">
        <f t="shared" si="4"/>
        <v>74.456826082114134</v>
      </c>
    </row>
    <row r="35" spans="1:6">
      <c r="A35">
        <f t="shared" si="10"/>
        <v>23.562399999999986</v>
      </c>
      <c r="B35">
        <f t="shared" si="0"/>
        <v>3.7699839999999978</v>
      </c>
      <c r="C35">
        <f t="shared" si="1"/>
        <v>43.379370760366768</v>
      </c>
      <c r="D35" t="str">
        <f t="shared" si="2"/>
        <v>562.651201663191</v>
      </c>
      <c r="F35">
        <f t="shared" si="4"/>
        <v>80.963257587148533</v>
      </c>
    </row>
    <row r="36" spans="1:6">
      <c r="A36">
        <f t="shared" si="10"/>
        <v>24.085999999999984</v>
      </c>
      <c r="B36">
        <f t="shared" si="0"/>
        <v>3.8537599999999976</v>
      </c>
      <c r="C36">
        <f t="shared" si="1"/>
        <v>47.170089750624918</v>
      </c>
      <c r="D36" t="str">
        <f t="shared" si="2"/>
        <v>665.282592098703</v>
      </c>
      <c r="F36">
        <f t="shared" si="4"/>
        <v>88.038255510566344</v>
      </c>
    </row>
    <row r="37" spans="1:6">
      <c r="A37">
        <f t="shared" si="10"/>
        <v>24.609599999999983</v>
      </c>
      <c r="B37">
        <f t="shared" si="0"/>
        <v>3.9375359999999975</v>
      </c>
      <c r="C37">
        <f t="shared" si="1"/>
        <v>51.292061827574507</v>
      </c>
      <c r="D37" t="str">
        <f t="shared" si="2"/>
        <v>786.63464334786</v>
      </c>
      <c r="F37">
        <f t="shared" si="4"/>
        <v>95.731504194985064</v>
      </c>
    </row>
    <row r="38" spans="1:6">
      <c r="A38">
        <f t="shared" si="10"/>
        <v>25.133199999999981</v>
      </c>
      <c r="B38">
        <f t="shared" si="0"/>
        <v>4.0213119999999973</v>
      </c>
      <c r="C38">
        <f t="shared" si="1"/>
        <v>55.774233638995184</v>
      </c>
      <c r="D38" t="str">
        <f t="shared" si="2"/>
        <v>3014.1613766428</v>
      </c>
      <c r="F38">
        <f t="shared" si="4"/>
        <v>104.09702966382062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Xingtao Huang</dc:creator>
  <cp:lastModifiedBy>Xingtao Huang</cp:lastModifiedBy>
  <dcterms:created xsi:type="dcterms:W3CDTF">2025-07-19T06:50:23Z</dcterms:created>
  <dcterms:modified xsi:type="dcterms:W3CDTF">2025-07-19T08:37:44Z</dcterms:modified>
</cp:coreProperties>
</file>